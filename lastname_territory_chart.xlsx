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aiahantonio\Desktop\datalab\capstone1\Capstone_1\"/>
    </mc:Choice>
  </mc:AlternateContent>
  <xr:revisionPtr revIDLastSave="0" documentId="8_{B7579A16-368A-4D15-86C7-9E93BE8321D2}" xr6:coauthVersionLast="47" xr6:coauthVersionMax="47" xr10:uidLastSave="{00000000-0000-0000-0000-000000000000}"/>
  <bookViews>
    <workbookView xWindow="-80" yWindow="-80" windowWidth="19360" windowHeight="11440" xr2:uid="{04C86A0B-4F46-4F01-BB47-7FAABC4FE2A4}"/>
  </bookViews>
  <sheets>
    <sheet name="capstone_file_export_query3" sheetId="1" r:id="rId1"/>
  </sheets>
  <calcPr calcId="0"/>
  <pivotCaches>
    <pivotCache cacheId="13" r:id="rId2"/>
  </pivotCaches>
</workbook>
</file>

<file path=xl/sharedStrings.xml><?xml version="1.0" encoding="utf-8"?>
<sst xmlns="http://schemas.openxmlformats.org/spreadsheetml/2006/main" count="42" uniqueCount="22">
  <si>
    <t>Region</t>
  </si>
  <si>
    <t>Territory</t>
  </si>
  <si>
    <t>East</t>
  </si>
  <si>
    <t>Connecticut</t>
  </si>
  <si>
    <t>New York</t>
  </si>
  <si>
    <t>Northeast</t>
  </si>
  <si>
    <t>Maine</t>
  </si>
  <si>
    <t>Maryland</t>
  </si>
  <si>
    <t>Massachusetts</t>
  </si>
  <si>
    <t>New Jersey</t>
  </si>
  <si>
    <t>South</t>
  </si>
  <si>
    <t>Florida</t>
  </si>
  <si>
    <t>South Carolina</t>
  </si>
  <si>
    <t>Texas</t>
  </si>
  <si>
    <t>West</t>
  </si>
  <si>
    <t>Colorado</t>
  </si>
  <si>
    <t>Row Labels</t>
  </si>
  <si>
    <t>Grand Total</t>
  </si>
  <si>
    <t>Territory Revenue</t>
  </si>
  <si>
    <t>Region Revenue</t>
  </si>
  <si>
    <t>Sum of Region Revenue</t>
  </si>
  <si>
    <t>Sum of Territory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</si>
</sst>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[lastname_territory_chart.xlsx]capstone_file_export_query3!PivotTable2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Territory vs</a:t>
            </a:r>
            <a:r>
              <a:rPr lang="en-US" baseline="0"/>
              <a:t> Region Revenue Comparison</a:t>
            </a:r>
            <a:endParaRPr lang="en-US"/>
          </a:p>
        </c:rich>
      </c:tx>
      <c:layout>
        <c:manualLayout>
          <c:xMode val="edge"/>
          <c:yMode val="edge"/>
          <c:x val="0.21332035546554465"/>
          <c:y val="6.65668974051178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capstone_file_export_query3!$J$7</c:f>
              <c:strCache>
                <c:ptCount val="1"/>
                <c:pt idx="0">
                  <c:v>Sum of Region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capstone_file_export_query3!$I$8:$I$22</c:f>
              <c:multiLvlStrCache>
                <c:ptCount val="10"/>
                <c:lvl>
                  <c:pt idx="0">
                    <c:v>Connecticut</c:v>
                  </c:pt>
                  <c:pt idx="1">
                    <c:v>New York</c:v>
                  </c:pt>
                  <c:pt idx="2">
                    <c:v>Maine</c:v>
                  </c:pt>
                  <c:pt idx="3">
                    <c:v>Maryland</c:v>
                  </c:pt>
                  <c:pt idx="4">
                    <c:v>Massachusetts</c:v>
                  </c:pt>
                  <c:pt idx="5">
                    <c:v>New Jersey</c:v>
                  </c:pt>
                  <c:pt idx="6">
                    <c:v>Florida</c:v>
                  </c:pt>
                  <c:pt idx="7">
                    <c:v>South Carolina</c:v>
                  </c:pt>
                  <c:pt idx="8">
                    <c:v>Texas</c:v>
                  </c:pt>
                  <c:pt idx="9">
                    <c:v>Colorado</c:v>
                  </c:pt>
                </c:lvl>
                <c:lvl>
                  <c:pt idx="0">
                    <c:v>East</c:v>
                  </c:pt>
                  <c:pt idx="2">
                    <c:v>Northeast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capstone_file_export_query3!$J$8:$J$22</c:f>
              <c:numCache>
                <c:formatCode>General</c:formatCode>
                <c:ptCount val="10"/>
                <c:pt idx="0">
                  <c:v>6723039.5300000003</c:v>
                </c:pt>
                <c:pt idx="1">
                  <c:v>6723039.5300000003</c:v>
                </c:pt>
                <c:pt idx="2">
                  <c:v>24237526.98</c:v>
                </c:pt>
                <c:pt idx="3">
                  <c:v>24237526.98</c:v>
                </c:pt>
                <c:pt idx="4">
                  <c:v>24237526.98</c:v>
                </c:pt>
                <c:pt idx="5">
                  <c:v>24237526.98</c:v>
                </c:pt>
                <c:pt idx="6">
                  <c:v>7996850.1200000001</c:v>
                </c:pt>
                <c:pt idx="7">
                  <c:v>7996850.1200000001</c:v>
                </c:pt>
                <c:pt idx="8">
                  <c:v>7996850.1200000001</c:v>
                </c:pt>
                <c:pt idx="9">
                  <c:v>6412632.2199999997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D2F-4407-A503-F6DC732DF611}"/>
            </c:ext>
          </c:extLst>
        </c:ser>
        <c:ser>
          <c:idx val="1"/>
          <c:order val="1"/>
          <c:tx>
            <c:strRef>
              <c:f>capstone_file_export_query3!$K$7</c:f>
              <c:strCache>
                <c:ptCount val="1"/>
                <c:pt idx="0">
                  <c:v>Sum of Territory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capstone_file_export_query3!$I$8:$I$22</c:f>
              <c:multiLvlStrCache>
                <c:ptCount val="10"/>
                <c:lvl>
                  <c:pt idx="0">
                    <c:v>Connecticut</c:v>
                  </c:pt>
                  <c:pt idx="1">
                    <c:v>New York</c:v>
                  </c:pt>
                  <c:pt idx="2">
                    <c:v>Maine</c:v>
                  </c:pt>
                  <c:pt idx="3">
                    <c:v>Maryland</c:v>
                  </c:pt>
                  <c:pt idx="4">
                    <c:v>Massachusetts</c:v>
                  </c:pt>
                  <c:pt idx="5">
                    <c:v>New Jersey</c:v>
                  </c:pt>
                  <c:pt idx="6">
                    <c:v>Florida</c:v>
                  </c:pt>
                  <c:pt idx="7">
                    <c:v>South Carolina</c:v>
                  </c:pt>
                  <c:pt idx="8">
                    <c:v>Texas</c:v>
                  </c:pt>
                  <c:pt idx="9">
                    <c:v>Colorado</c:v>
                  </c:pt>
                </c:lvl>
                <c:lvl>
                  <c:pt idx="0">
                    <c:v>East</c:v>
                  </c:pt>
                  <c:pt idx="2">
                    <c:v>Northeast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capstone_file_export_query3!$K$8:$K$22</c:f>
              <c:numCache>
                <c:formatCode>General</c:formatCode>
                <c:ptCount val="10"/>
                <c:pt idx="0">
                  <c:v>2392222.44</c:v>
                </c:pt>
                <c:pt idx="1">
                  <c:v>4330817.09</c:v>
                </c:pt>
                <c:pt idx="2">
                  <c:v>1877249.75</c:v>
                </c:pt>
                <c:pt idx="3">
                  <c:v>11451615.09</c:v>
                </c:pt>
                <c:pt idx="4">
                  <c:v>5733256.2699999996</c:v>
                </c:pt>
                <c:pt idx="5">
                  <c:v>5175405.87</c:v>
                </c:pt>
                <c:pt idx="6">
                  <c:v>3930187.55</c:v>
                </c:pt>
                <c:pt idx="7">
                  <c:v>648812.56000000006</c:v>
                </c:pt>
                <c:pt idx="8">
                  <c:v>3417850.01</c:v>
                </c:pt>
                <c:pt idx="9">
                  <c:v>6412632.2199999997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D2F-4407-A503-F6DC732DF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400815"/>
        <c:axId val="861399375"/>
      </c:barChart>
      <c:catAx>
        <c:axId val="86140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399375"/>
        <c:crosses val="autoZero"/>
        <c:auto val="1"/>
        <c:lblAlgn val="ctr"/>
        <c:lblOffset val="100"/>
        <c:noMultiLvlLbl val="0"/>
      </c:catAx>
      <c:valAx>
        <c:axId val="86139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40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69850</xdr:rowOff>
    </xdr:from>
    <xdr:to>
      <xdr:col>7</xdr:col>
      <xdr:colOff>203200</xdr:colOff>
      <xdr:row>37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B1673D-1225-87ED-1E91-7EFCEDEB9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0</xdr:row>
      <xdr:rowOff>88900</xdr:rowOff>
    </xdr:from>
    <xdr:to>
      <xdr:col>11</xdr:col>
      <xdr:colOff>12700</xdr:colOff>
      <xdr:row>4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209800-1E47-90BB-68B9-9468C8B0ED83}"/>
            </a:ext>
          </a:extLst>
        </xdr:cNvPr>
        <xdr:cNvSpPr txBox="1"/>
      </xdr:nvSpPr>
      <xdr:spPr>
        <a:xfrm>
          <a:off x="4311650" y="88900"/>
          <a:ext cx="5956300" cy="81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cap="all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Business Question : Provide a comparison of total revenue for the specific sales territory and the region it belongs to. 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saiah antonio" refreshedDate="46141.736944212964" createdVersion="8" refreshedVersion="8" minRefreshableVersion="3" recordCount="10" xr:uid="{E8C9E2E3-7DAC-4D9B-A13B-12596E99F265}">
  <cacheSource type="worksheet">
    <worksheetSource name="Table1"/>
  </cacheSource>
  <cacheFields count="4">
    <cacheField name="Region" numFmtId="0">
      <sharedItems count="4">
        <s v="East"/>
        <s v="Northeast"/>
        <s v="South"/>
        <s v="West"/>
      </sharedItems>
    </cacheField>
    <cacheField name="Territory" numFmtId="0">
      <sharedItems count="10">
        <s v="Connecticut"/>
        <s v="New York"/>
        <s v="Maine"/>
        <s v="Maryland"/>
        <s v="Massachusetts"/>
        <s v="New Jersey"/>
        <s v="Florida"/>
        <s v="South Carolina"/>
        <s v="Texas"/>
        <s v="Colorado"/>
      </sharedItems>
    </cacheField>
    <cacheField name="Territory_Revenue" numFmtId="0">
      <sharedItems containsSemiMixedTypes="0" containsString="0" containsNumber="1" minValue="648812.56000000006" maxValue="11451615.09" count="10">
        <n v="2392222.44"/>
        <n v="4330817.09"/>
        <n v="1877249.75"/>
        <n v="11451615.09"/>
        <n v="5733256.2699999996"/>
        <n v="5175405.87"/>
        <n v="3930187.55"/>
        <n v="648812.56000000006"/>
        <n v="3417850.01"/>
        <n v="6412632.2199999997"/>
      </sharedItems>
    </cacheField>
    <cacheField name="Region_Revenue" numFmtId="0">
      <sharedItems containsSemiMixedTypes="0" containsString="0" containsNumber="1" minValue="6412632.2199999997" maxValue="24237526.98" count="4">
        <n v="6723039.5300000003"/>
        <n v="24237526.98"/>
        <n v="7996850.1200000001"/>
        <n v="6412632.21999999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</r>
  <r>
    <x v="0"/>
    <x v="1"/>
    <x v="1"/>
    <x v="0"/>
  </r>
  <r>
    <x v="1"/>
    <x v="2"/>
    <x v="2"/>
    <x v="1"/>
  </r>
  <r>
    <x v="1"/>
    <x v="3"/>
    <x v="3"/>
    <x v="1"/>
  </r>
  <r>
    <x v="1"/>
    <x v="4"/>
    <x v="4"/>
    <x v="1"/>
  </r>
  <r>
    <x v="1"/>
    <x v="5"/>
    <x v="5"/>
    <x v="1"/>
  </r>
  <r>
    <x v="2"/>
    <x v="6"/>
    <x v="6"/>
    <x v="2"/>
  </r>
  <r>
    <x v="2"/>
    <x v="7"/>
    <x v="7"/>
    <x v="2"/>
  </r>
  <r>
    <x v="2"/>
    <x v="8"/>
    <x v="8"/>
    <x v="2"/>
  </r>
  <r>
    <x v="3"/>
    <x v="9"/>
    <x v="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88F3A-921D-449C-9CC9-EA32D4093814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7:K22" firstHeaderRow="0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1">
        <item x="9"/>
        <item x="0"/>
        <item x="6"/>
        <item x="2"/>
        <item x="3"/>
        <item x="4"/>
        <item x="5"/>
        <item x="1"/>
        <item x="7"/>
        <item x="8"/>
        <item t="default"/>
      </items>
    </pivotField>
    <pivotField dataField="1" showAll="0">
      <items count="11">
        <item x="7"/>
        <item x="2"/>
        <item x="0"/>
        <item x="8"/>
        <item x="6"/>
        <item x="1"/>
        <item x="5"/>
        <item x="4"/>
        <item x="9"/>
        <item x="3"/>
        <item t="default"/>
      </items>
    </pivotField>
    <pivotField dataField="1" showAll="0">
      <items count="5">
        <item x="3"/>
        <item x="0"/>
        <item x="2"/>
        <item x="1"/>
        <item t="default"/>
      </items>
    </pivotField>
  </pivotFields>
  <rowFields count="2">
    <field x="0"/>
    <field x="1"/>
  </rowFields>
  <rowItems count="15">
    <i>
      <x/>
    </i>
    <i r="1">
      <x v="1"/>
    </i>
    <i r="1">
      <x v="7"/>
    </i>
    <i>
      <x v="1"/>
    </i>
    <i r="1">
      <x v="3"/>
    </i>
    <i r="1">
      <x v="4"/>
    </i>
    <i r="1">
      <x v="5"/>
    </i>
    <i r="1">
      <x v="6"/>
    </i>
    <i>
      <x v="2"/>
    </i>
    <i r="1">
      <x v="2"/>
    </i>
    <i r="1">
      <x v="8"/>
    </i>
    <i r="1">
      <x v="9"/>
    </i>
    <i>
      <x v="3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gion Revenue" fld="3" baseField="0" baseItem="0"/>
    <dataField name="Sum of Territory Revenue" fld="2" baseField="0" baseItem="0"/>
  </dataFields>
  <chartFormats count="12">
    <chartFormat chart="0" format="2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2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2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2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2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2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2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2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31384-B363-472D-8B59-59E667F99119}" name="Table1" displayName="Table1" ref="A1:D11" totalsRowShown="0">
  <autoFilter ref="A1:D11" xr:uid="{B0031384-B363-472D-8B59-59E667F99119}"/>
  <tableColumns count="4">
    <tableColumn id="1" xr3:uid="{8845B1E2-72AC-4BCE-9F2D-4AD591D7134B}" name="Region"/>
    <tableColumn id="2" xr3:uid="{9F2F51CD-51C2-4061-B1E1-3D07E34F23D7}" name="Territory"/>
    <tableColumn id="3" xr3:uid="{7D7447DF-44E1-4A31-91AA-6E77717C0B6B}" name="Territory Revenue"/>
    <tableColumn id="4" xr3:uid="{6CF171D9-5E2C-4829-BB66-A09AC5B3D2BE}" name="Region 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B187-1485-46F6-925D-3F05D6FD22E7}">
  <dimension ref="A1:K22"/>
  <sheetViews>
    <sheetView tabSelected="1" workbookViewId="0">
      <selection activeCell="G7" sqref="G7"/>
    </sheetView>
  </sheetViews>
  <sheetFormatPr defaultRowHeight="14.5" x14ac:dyDescent="0.35"/>
  <cols>
    <col min="2" max="2" width="9.7265625" customWidth="1"/>
    <col min="3" max="3" width="17.81640625" customWidth="1"/>
    <col min="4" max="4" width="16.6328125" customWidth="1"/>
    <col min="9" max="9" width="16.6328125" bestFit="1" customWidth="1"/>
    <col min="10" max="10" width="20.54296875" bestFit="1" customWidth="1"/>
    <col min="11" max="11" width="21.81640625" bestFit="1" customWidth="1"/>
    <col min="12" max="12" width="11.81640625" bestFit="1" customWidth="1"/>
    <col min="13" max="13" width="10.81640625" bestFit="1" customWidth="1"/>
    <col min="14" max="14" width="22.26953125" bestFit="1" customWidth="1"/>
    <col min="15" max="15" width="11.81640625" bestFit="1" customWidth="1"/>
    <col min="16" max="17" width="10.81640625" bestFit="1" customWidth="1"/>
    <col min="18" max="18" width="25.6328125" bestFit="1" customWidth="1"/>
    <col min="19" max="19" width="26.81640625" bestFit="1" customWidth="1"/>
    <col min="20" max="20" width="10.36328125" bestFit="1" customWidth="1"/>
    <col min="21" max="28" width="22.26953125" bestFit="1" customWidth="1"/>
    <col min="29" max="29" width="26.81640625" bestFit="1" customWidth="1"/>
    <col min="30" max="31" width="25.6328125" bestFit="1" customWidth="1"/>
  </cols>
  <sheetData>
    <row r="1" spans="1:11" x14ac:dyDescent="0.35">
      <c r="A1" t="s">
        <v>0</v>
      </c>
      <c r="B1" t="s">
        <v>1</v>
      </c>
      <c r="C1" t="s">
        <v>18</v>
      </c>
      <c r="D1" t="s">
        <v>19</v>
      </c>
    </row>
    <row r="2" spans="1:11" x14ac:dyDescent="0.35">
      <c r="A2" t="s">
        <v>2</v>
      </c>
      <c r="B2" t="s">
        <v>3</v>
      </c>
      <c r="C2">
        <v>2392222.44</v>
      </c>
      <c r="D2">
        <v>6723039.5300000003</v>
      </c>
    </row>
    <row r="3" spans="1:11" x14ac:dyDescent="0.35">
      <c r="A3" t="s">
        <v>2</v>
      </c>
      <c r="B3" t="s">
        <v>4</v>
      </c>
      <c r="C3">
        <v>4330817.09</v>
      </c>
      <c r="D3">
        <v>6723039.5300000003</v>
      </c>
    </row>
    <row r="4" spans="1:11" x14ac:dyDescent="0.35">
      <c r="A4" t="s">
        <v>5</v>
      </c>
      <c r="B4" t="s">
        <v>6</v>
      </c>
      <c r="C4">
        <v>1877249.75</v>
      </c>
      <c r="D4">
        <v>24237526.98</v>
      </c>
    </row>
    <row r="5" spans="1:11" x14ac:dyDescent="0.35">
      <c r="A5" t="s">
        <v>5</v>
      </c>
      <c r="B5" t="s">
        <v>7</v>
      </c>
      <c r="C5">
        <v>11451615.09</v>
      </c>
      <c r="D5">
        <v>24237526.98</v>
      </c>
    </row>
    <row r="6" spans="1:11" x14ac:dyDescent="0.35">
      <c r="A6" t="s">
        <v>5</v>
      </c>
      <c r="B6" t="s">
        <v>8</v>
      </c>
      <c r="C6">
        <v>5733256.2699999996</v>
      </c>
      <c r="D6">
        <v>24237526.98</v>
      </c>
    </row>
    <row r="7" spans="1:11" x14ac:dyDescent="0.35">
      <c r="A7" t="s">
        <v>5</v>
      </c>
      <c r="B7" t="s">
        <v>9</v>
      </c>
      <c r="C7">
        <v>5175405.87</v>
      </c>
      <c r="D7">
        <v>24237526.98</v>
      </c>
      <c r="I7" s="1" t="s">
        <v>16</v>
      </c>
      <c r="J7" t="s">
        <v>20</v>
      </c>
      <c r="K7" t="s">
        <v>21</v>
      </c>
    </row>
    <row r="8" spans="1:11" x14ac:dyDescent="0.35">
      <c r="A8" t="s">
        <v>10</v>
      </c>
      <c r="B8" t="s">
        <v>11</v>
      </c>
      <c r="C8">
        <v>3930187.55</v>
      </c>
      <c r="D8">
        <v>7996850.1200000001</v>
      </c>
      <c r="I8" s="2" t="s">
        <v>2</v>
      </c>
      <c r="J8" s="3">
        <v>13446079.060000001</v>
      </c>
      <c r="K8" s="3">
        <v>6723039.5299999993</v>
      </c>
    </row>
    <row r="9" spans="1:11" x14ac:dyDescent="0.35">
      <c r="A9" t="s">
        <v>10</v>
      </c>
      <c r="B9" t="s">
        <v>12</v>
      </c>
      <c r="C9">
        <v>648812.56000000006</v>
      </c>
      <c r="D9">
        <v>7996850.1200000001</v>
      </c>
      <c r="I9" s="4" t="s">
        <v>3</v>
      </c>
      <c r="J9" s="3">
        <v>6723039.5300000003</v>
      </c>
      <c r="K9" s="3">
        <v>2392222.44</v>
      </c>
    </row>
    <row r="10" spans="1:11" x14ac:dyDescent="0.35">
      <c r="A10" t="s">
        <v>10</v>
      </c>
      <c r="B10" t="s">
        <v>13</v>
      </c>
      <c r="C10">
        <v>3417850.01</v>
      </c>
      <c r="D10">
        <v>7996850.1200000001</v>
      </c>
      <c r="I10" s="4" t="s">
        <v>4</v>
      </c>
      <c r="J10" s="3">
        <v>6723039.5300000003</v>
      </c>
      <c r="K10" s="3">
        <v>4330817.09</v>
      </c>
    </row>
    <row r="11" spans="1:11" x14ac:dyDescent="0.35">
      <c r="A11" t="s">
        <v>14</v>
      </c>
      <c r="B11" t="s">
        <v>15</v>
      </c>
      <c r="C11">
        <v>6412632.2199999997</v>
      </c>
      <c r="D11">
        <v>6412632.2199999997</v>
      </c>
      <c r="I11" s="2" t="s">
        <v>5</v>
      </c>
      <c r="J11" s="3">
        <v>96950107.920000002</v>
      </c>
      <c r="K11" s="3">
        <v>24237526.98</v>
      </c>
    </row>
    <row r="12" spans="1:11" x14ac:dyDescent="0.35">
      <c r="I12" s="4" t="s">
        <v>6</v>
      </c>
      <c r="J12" s="3">
        <v>24237526.98</v>
      </c>
      <c r="K12" s="3">
        <v>1877249.75</v>
      </c>
    </row>
    <row r="13" spans="1:11" x14ac:dyDescent="0.35">
      <c r="I13" s="4" t="s">
        <v>7</v>
      </c>
      <c r="J13" s="3">
        <v>24237526.98</v>
      </c>
      <c r="K13" s="3">
        <v>11451615.09</v>
      </c>
    </row>
    <row r="14" spans="1:11" x14ac:dyDescent="0.35">
      <c r="I14" s="4" t="s">
        <v>8</v>
      </c>
      <c r="J14" s="3">
        <v>24237526.98</v>
      </c>
      <c r="K14" s="3">
        <v>5733256.2699999996</v>
      </c>
    </row>
    <row r="15" spans="1:11" x14ac:dyDescent="0.35">
      <c r="I15" s="4" t="s">
        <v>9</v>
      </c>
      <c r="J15" s="3">
        <v>24237526.98</v>
      </c>
      <c r="K15" s="3">
        <v>5175405.87</v>
      </c>
    </row>
    <row r="16" spans="1:11" x14ac:dyDescent="0.35">
      <c r="I16" s="2" t="s">
        <v>10</v>
      </c>
      <c r="J16" s="3">
        <v>23990550.359999999</v>
      </c>
      <c r="K16" s="3">
        <v>7996850.1199999992</v>
      </c>
    </row>
    <row r="17" spans="9:11" x14ac:dyDescent="0.35">
      <c r="I17" s="4" t="s">
        <v>11</v>
      </c>
      <c r="J17" s="3">
        <v>7996850.1200000001</v>
      </c>
      <c r="K17" s="3">
        <v>3930187.55</v>
      </c>
    </row>
    <row r="18" spans="9:11" x14ac:dyDescent="0.35">
      <c r="I18" s="4" t="s">
        <v>12</v>
      </c>
      <c r="J18" s="3">
        <v>7996850.1200000001</v>
      </c>
      <c r="K18" s="3">
        <v>648812.56000000006</v>
      </c>
    </row>
    <row r="19" spans="9:11" x14ac:dyDescent="0.35">
      <c r="I19" s="4" t="s">
        <v>13</v>
      </c>
      <c r="J19" s="3">
        <v>7996850.1200000001</v>
      </c>
      <c r="K19" s="3">
        <v>3417850.01</v>
      </c>
    </row>
    <row r="20" spans="9:11" x14ac:dyDescent="0.35">
      <c r="I20" s="2" t="s">
        <v>14</v>
      </c>
      <c r="J20" s="3">
        <v>6412632.2199999997</v>
      </c>
      <c r="K20" s="3">
        <v>6412632.2199999997</v>
      </c>
    </row>
    <row r="21" spans="9:11" x14ac:dyDescent="0.35">
      <c r="I21" s="4" t="s">
        <v>15</v>
      </c>
      <c r="J21" s="3">
        <v>6412632.2199999997</v>
      </c>
      <c r="K21" s="3">
        <v>6412632.2199999997</v>
      </c>
    </row>
    <row r="22" spans="9:11" x14ac:dyDescent="0.35">
      <c r="I22" s="2" t="s">
        <v>17</v>
      </c>
      <c r="J22" s="3">
        <v>140799369.56</v>
      </c>
      <c r="K22" s="3">
        <v>45370048.849999994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capstone_file_export_query3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kasaiah antonio</dc:creator>
  <cp:lastModifiedBy>kasaiah antonio</cp:lastModifiedBy>
  <dcterms:created xsi:type="dcterms:W3CDTF">2026-04-30T00:52:01Z</dcterms:created>
  <dcterms:modified xsi:type="dcterms:W3CDTF">2026-05-01T00:06:30Z</dcterms:modified>
</cp:coreProperties>
</file>